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nofluidtech-my.sharepoint.com/personal/cary_nanofluidtech_com/Documents/Documents/"/>
    </mc:Choice>
  </mc:AlternateContent>
  <xr:revisionPtr revIDLastSave="0" documentId="8_{E9F8D44D-6369-495B-B5D3-F3399F1146F6}" xr6:coauthVersionLast="47" xr6:coauthVersionMax="47" xr10:uidLastSave="{00000000-0000-0000-0000-000000000000}"/>
  <bookViews>
    <workbookView xWindow="-28920" yWindow="-120" windowWidth="29040" windowHeight="15720" xr2:uid="{D6682788-D1FC-47A4-A8C9-DD6E695C7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1" l="1"/>
  <c r="O11" i="1" l="1"/>
  <c r="J11" i="1"/>
  <c r="L11" i="1"/>
  <c r="M11" i="1"/>
  <c r="H11" i="1"/>
  <c r="I11" i="1"/>
  <c r="K11" i="1"/>
  <c r="N11" i="1"/>
  <c r="O14" i="1"/>
  <c r="O10" i="1"/>
  <c r="H14" i="1"/>
  <c r="I14" i="1"/>
  <c r="J10" i="1"/>
  <c r="J14" i="1"/>
  <c r="I10" i="1"/>
  <c r="N14" i="1"/>
  <c r="K10" i="1"/>
  <c r="L14" i="1"/>
  <c r="M10" i="1"/>
  <c r="K14" i="1"/>
  <c r="M14" i="1"/>
  <c r="L10" i="1"/>
  <c r="N10" i="1"/>
  <c r="H10" i="1"/>
  <c r="I13" i="1" l="1"/>
  <c r="I18" i="1" s="1"/>
  <c r="O13" i="1"/>
  <c r="O18" i="1" s="1"/>
  <c r="J16" i="1"/>
  <c r="M13" i="1"/>
  <c r="M18" i="1" s="1"/>
  <c r="J13" i="1"/>
  <c r="J18" i="1" s="1"/>
  <c r="O16" i="1"/>
  <c r="I16" i="1"/>
  <c r="H16" i="1"/>
  <c r="K16" i="1"/>
  <c r="K13" i="1"/>
  <c r="K18" i="1" s="1"/>
  <c r="H13" i="1"/>
  <c r="H18" i="1" s="1"/>
  <c r="N16" i="1"/>
  <c r="L16" i="1"/>
  <c r="L13" i="1"/>
  <c r="L18" i="1" s="1"/>
  <c r="N13" i="1"/>
  <c r="N18" i="1" s="1"/>
  <c r="M16" i="1"/>
</calcChain>
</file>

<file path=xl/sharedStrings.xml><?xml version="1.0" encoding="utf-8"?>
<sst xmlns="http://schemas.openxmlformats.org/spreadsheetml/2006/main" count="36" uniqueCount="29">
  <si>
    <t xml:space="preserve">8:1 </t>
  </si>
  <si>
    <t>7:1</t>
  </si>
  <si>
    <t>6:1</t>
  </si>
  <si>
    <t>5:1</t>
  </si>
  <si>
    <t>4:1</t>
  </si>
  <si>
    <t>3:1</t>
  </si>
  <si>
    <t>2:1</t>
  </si>
  <si>
    <t>1:1</t>
  </si>
  <si>
    <t xml:space="preserve"> </t>
  </si>
  <si>
    <t>Mix Ratio</t>
  </si>
  <si>
    <t>Actual Mix Ratio - (X.X:1)</t>
  </si>
  <si>
    <t xml:space="preserve">Extra Water:   </t>
  </si>
  <si>
    <t>Machine Tank Size</t>
  </si>
  <si>
    <t xml:space="preserve">Normal Mix Ratio - Water:   </t>
  </si>
  <si>
    <t>Total - Fluids = Tank Size</t>
  </si>
  <si>
    <t xml:space="preserve">Total Water:   </t>
  </si>
  <si>
    <t xml:space="preserve">Tool-X - MP 101:   </t>
  </si>
  <si>
    <t xml:space="preserve">Instructions:   </t>
  </si>
  <si>
    <t xml:space="preserve">3)  After the Nano Particles Have Time to Mix in the Machine, Step-up to a Higher Ratios over Time </t>
  </si>
  <si>
    <t xml:space="preserve">4)  Actual Mix Ratio is Calculated at the Bottom </t>
  </si>
  <si>
    <t>Volume</t>
  </si>
  <si>
    <t xml:space="preserve">Extra Water: </t>
  </si>
  <si>
    <t xml:space="preserve">Tank Size - Remaining: </t>
  </si>
  <si>
    <t xml:space="preserve">2)  Tool-X Recommends Higher Starting Mixture Ratio (2:1) at the Start-Up of Saws with an Extra 10% of Water </t>
  </si>
  <si>
    <t xml:space="preserve">Normal Mixture Rate (8:1) </t>
  </si>
  <si>
    <t xml:space="preserve">Tank Size: </t>
  </si>
  <si>
    <t>1)  Change "Tank Size" to Calculate Proper Mix Ratio Using Container Tank Capacity</t>
  </si>
  <si>
    <t>CNC</t>
  </si>
  <si>
    <t>Tool-X Mixture Rate Calculation - Gallons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</si>
</sst>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20" fontId="0" fillId="0" borderId="3" xfId="0" quotePrefix="1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20" fontId="0" fillId="0" borderId="4" xfId="0" quotePrefix="1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9" xfId="0" applyBorder="1"/>
    <xf numFmtId="164" fontId="0" fillId="0" borderId="1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20" fontId="0" fillId="0" borderId="7" xfId="0" quotePrefix="1" applyNumberFormat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20" fontId="0" fillId="0" borderId="8" xfId="0" quotePrefix="1" applyNumberFormat="1" applyBorder="1" applyAlignment="1">
      <alignment horizontal="center" vertical="center"/>
    </xf>
    <xf numFmtId="0" fontId="0" fillId="0" borderId="11" xfId="0" applyBorder="1" applyAlignment="1">
      <alignment horizontal="right"/>
    </xf>
    <xf numFmtId="2" fontId="0" fillId="0" borderId="0" xfId="0" applyNumberFormat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9" xfId="0" applyBorder="1" applyAlignment="1">
      <alignment horizontal="right"/>
    </xf>
    <xf numFmtId="2" fontId="0" fillId="0" borderId="1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/>
    <xf numFmtId="9" fontId="0" fillId="0" borderId="12" xfId="0" applyNumberFormat="1" applyBorder="1" applyAlignment="1">
      <alignment horizontal="center" vertical="center"/>
    </xf>
    <xf numFmtId="0" fontId="0" fillId="0" borderId="13" xfId="0" applyBorder="1"/>
    <xf numFmtId="9" fontId="0" fillId="0" borderId="13" xfId="0" applyNumberFormat="1" applyBorder="1" applyAlignment="1">
      <alignment horizontal="center" vertical="center"/>
    </xf>
    <xf numFmtId="9" fontId="0" fillId="0" borderId="7" xfId="0" applyNumberFormat="1" applyBorder="1"/>
    <xf numFmtId="0" fontId="1" fillId="0" borderId="0" xfId="0" applyFont="1"/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/>
    <xf numFmtId="14" fontId="3" fillId="0" borderId="0" xfId="0" applyNumberFormat="1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0" fontId="0" fillId="0" borderId="15" xfId="0" quotePrefix="1" applyNumberFormat="1" applyBorder="1" applyAlignment="1">
      <alignment horizontal="center" vertical="center"/>
    </xf>
    <xf numFmtId="20" fontId="0" fillId="0" borderId="16" xfId="0" quotePrefix="1" applyNumberFormat="1" applyBorder="1" applyAlignment="1">
      <alignment horizontal="center" vertical="center"/>
    </xf>
    <xf numFmtId="20" fontId="0" fillId="0" borderId="17" xfId="0" quotePrefix="1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5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FB21-8BFD-4F6C-AF6B-7FF195FE97A9}">
  <dimension ref="B1:P33"/>
  <sheetViews>
    <sheetView tabSelected="1" workbookViewId="0">
      <selection activeCell="O4" sqref="O4"/>
    </sheetView>
  </sheetViews>
  <sheetFormatPr defaultRowHeight="14.4" x14ac:dyDescent="0.3"/>
  <cols>
    <col min="1" max="2" width="2.6640625" customWidth="1"/>
    <col min="3" max="3" width="22.109375" customWidth="1"/>
    <col min="4" max="4" width="10.88671875" customWidth="1"/>
    <col min="5" max="5" width="8" customWidth="1"/>
    <col min="6" max="6" width="2.5546875" customWidth="1"/>
    <col min="7" max="7" width="26.109375" customWidth="1"/>
    <col min="8" max="15" width="13.109375" customWidth="1"/>
    <col min="16" max="17" width="2.6640625" customWidth="1"/>
  </cols>
  <sheetData>
    <row r="1" spans="2:16" x14ac:dyDescent="0.3">
      <c r="E1" s="7"/>
    </row>
    <row r="2" spans="2:16" x14ac:dyDescent="0.3">
      <c r="B2" s="8"/>
      <c r="C2" s="9"/>
      <c r="D2" s="9"/>
      <c r="E2" s="49"/>
      <c r="F2" s="9"/>
      <c r="G2" s="9"/>
      <c r="H2" s="9"/>
      <c r="I2" s="9"/>
      <c r="J2" s="9"/>
      <c r="K2" s="9"/>
      <c r="L2" s="9"/>
      <c r="M2" s="9"/>
      <c r="N2" s="9"/>
      <c r="O2" s="9"/>
      <c r="P2" s="11"/>
    </row>
    <row r="3" spans="2:16" ht="23.4" x14ac:dyDescent="0.45">
      <c r="B3" s="34"/>
      <c r="E3" s="7"/>
      <c r="H3" s="50" t="s">
        <v>28</v>
      </c>
      <c r="O3" s="54">
        <v>45499</v>
      </c>
      <c r="P3" s="45"/>
    </row>
    <row r="4" spans="2:16" ht="4.95" customHeight="1" x14ac:dyDescent="0.3">
      <c r="B4" s="34"/>
      <c r="E4" s="7"/>
      <c r="H4" s="43"/>
      <c r="P4" s="45"/>
    </row>
    <row r="5" spans="2:16" ht="15" thickBot="1" x14ac:dyDescent="0.35">
      <c r="B5" s="34"/>
      <c r="I5" s="24"/>
      <c r="J5" s="24"/>
      <c r="K5" s="24" t="s">
        <v>8</v>
      </c>
      <c r="L5" s="24"/>
      <c r="M5" s="24"/>
      <c r="N5" s="24"/>
      <c r="O5" s="24"/>
      <c r="P5" s="51"/>
    </row>
    <row r="6" spans="2:16" x14ac:dyDescent="0.3">
      <c r="B6" s="34"/>
      <c r="H6" s="55" t="s">
        <v>27</v>
      </c>
      <c r="I6" s="3"/>
      <c r="J6" s="3"/>
      <c r="K6" s="5" t="s">
        <v>24</v>
      </c>
      <c r="L6" s="3"/>
      <c r="M6" s="3"/>
      <c r="N6" s="3"/>
      <c r="O6" s="4"/>
      <c r="P6" s="45"/>
    </row>
    <row r="7" spans="2:16" x14ac:dyDescent="0.3">
      <c r="B7" s="34"/>
      <c r="F7" t="s">
        <v>8</v>
      </c>
      <c r="G7" s="22" t="s">
        <v>9</v>
      </c>
      <c r="H7" s="56" t="s">
        <v>0</v>
      </c>
      <c r="I7" s="12" t="s">
        <v>1</v>
      </c>
      <c r="J7" s="13" t="s">
        <v>2</v>
      </c>
      <c r="K7" s="12" t="s">
        <v>3</v>
      </c>
      <c r="L7" s="12" t="s">
        <v>4</v>
      </c>
      <c r="M7" s="12" t="s">
        <v>5</v>
      </c>
      <c r="N7" s="12" t="s">
        <v>6</v>
      </c>
      <c r="O7" s="14" t="s">
        <v>7</v>
      </c>
      <c r="P7" s="45"/>
    </row>
    <row r="8" spans="2:16" x14ac:dyDescent="0.3">
      <c r="B8" s="34"/>
      <c r="G8" s="24"/>
      <c r="H8" s="57"/>
      <c r="I8" s="25"/>
      <c r="J8" s="26"/>
      <c r="K8" s="25"/>
      <c r="L8" s="25"/>
      <c r="M8" s="25"/>
      <c r="N8" s="25"/>
      <c r="O8" s="25"/>
      <c r="P8" s="45"/>
    </row>
    <row r="9" spans="2:16" x14ac:dyDescent="0.3">
      <c r="B9" s="34"/>
      <c r="C9" s="44" t="s">
        <v>12</v>
      </c>
      <c r="D9" s="10" t="s">
        <v>20</v>
      </c>
      <c r="E9" s="11"/>
      <c r="G9" s="8"/>
      <c r="H9" s="58"/>
      <c r="I9" s="27"/>
      <c r="J9" s="28"/>
      <c r="K9" s="27"/>
      <c r="L9" s="27"/>
      <c r="M9" s="27"/>
      <c r="N9" s="27"/>
      <c r="O9" s="29"/>
      <c r="P9" s="45"/>
    </row>
    <row r="10" spans="2:16" ht="14.4" customHeight="1" x14ac:dyDescent="0.3">
      <c r="B10" s="34"/>
      <c r="C10" s="30" t="s">
        <v>25</v>
      </c>
      <c r="D10" s="42">
        <v>45</v>
      </c>
      <c r="E10" s="45"/>
      <c r="G10" s="30" t="s">
        <v>13</v>
      </c>
      <c r="H10" s="59">
        <f>+($D12*0.8889)</f>
        <v>40.000500000000002</v>
      </c>
      <c r="I10" s="31">
        <f>+($D12*0.875)</f>
        <v>39.375</v>
      </c>
      <c r="J10" s="31">
        <f>+($D12*0.8571)</f>
        <v>38.569499999999998</v>
      </c>
      <c r="K10" s="31">
        <f>+($D12*0.8333)</f>
        <v>37.4985</v>
      </c>
      <c r="L10" s="31">
        <f>+($D12*0.8)</f>
        <v>36</v>
      </c>
      <c r="M10" s="31">
        <f>+($D12*0.75)</f>
        <v>33.75</v>
      </c>
      <c r="N10" s="31">
        <f>+($D12*0.6667)</f>
        <v>30.001499999999997</v>
      </c>
      <c r="O10" s="32">
        <f>+($D12*0.5)</f>
        <v>22.5</v>
      </c>
      <c r="P10" s="45"/>
    </row>
    <row r="11" spans="2:16" ht="14.4" customHeight="1" x14ac:dyDescent="0.3">
      <c r="B11" s="34"/>
      <c r="C11" s="30" t="s">
        <v>21</v>
      </c>
      <c r="D11" s="6">
        <v>0</v>
      </c>
      <c r="E11" s="46">
        <v>0.1</v>
      </c>
      <c r="G11" s="30" t="s">
        <v>11</v>
      </c>
      <c r="H11" s="60">
        <f t="shared" ref="H11:O11" si="0">+$D$11</f>
        <v>0</v>
      </c>
      <c r="I11" s="17">
        <f t="shared" si="0"/>
        <v>0</v>
      </c>
      <c r="J11" s="17">
        <f t="shared" si="0"/>
        <v>0</v>
      </c>
      <c r="K11" s="17">
        <f t="shared" si="0"/>
        <v>0</v>
      </c>
      <c r="L11" s="17">
        <f t="shared" si="0"/>
        <v>0</v>
      </c>
      <c r="M11" s="17">
        <f t="shared" si="0"/>
        <v>0</v>
      </c>
      <c r="N11" s="17">
        <f t="shared" si="0"/>
        <v>0</v>
      </c>
      <c r="O11" s="33">
        <f t="shared" si="0"/>
        <v>0</v>
      </c>
      <c r="P11" s="45"/>
    </row>
    <row r="12" spans="2:16" ht="14.4" customHeight="1" thickBot="1" x14ac:dyDescent="0.35">
      <c r="B12" s="34"/>
      <c r="C12" s="30" t="s">
        <v>22</v>
      </c>
      <c r="D12" s="21">
        <f>+D10-D11</f>
        <v>45</v>
      </c>
      <c r="E12" s="46"/>
      <c r="G12" s="34"/>
      <c r="H12" s="61"/>
      <c r="I12" s="35"/>
      <c r="J12" s="35"/>
      <c r="K12" s="35"/>
      <c r="L12" s="35"/>
      <c r="M12" s="35"/>
      <c r="N12" s="35"/>
      <c r="O12" s="36"/>
      <c r="P12" s="45"/>
    </row>
    <row r="13" spans="2:16" ht="14.4" customHeight="1" thickTop="1" x14ac:dyDescent="0.3">
      <c r="B13" s="34"/>
      <c r="C13" s="39"/>
      <c r="D13" s="6"/>
      <c r="E13" s="48"/>
      <c r="G13" s="30" t="s">
        <v>15</v>
      </c>
      <c r="H13" s="62">
        <f>+H10+H11</f>
        <v>40.000500000000002</v>
      </c>
      <c r="I13" s="37">
        <f t="shared" ref="I13:O13" si="1">+I10+I11</f>
        <v>39.375</v>
      </c>
      <c r="J13" s="37">
        <f t="shared" si="1"/>
        <v>38.569499999999998</v>
      </c>
      <c r="K13" s="37">
        <f t="shared" si="1"/>
        <v>37.4985</v>
      </c>
      <c r="L13" s="37">
        <f t="shared" si="1"/>
        <v>36</v>
      </c>
      <c r="M13" s="37">
        <f t="shared" si="1"/>
        <v>33.75</v>
      </c>
      <c r="N13" s="37">
        <f t="shared" si="1"/>
        <v>30.001499999999997</v>
      </c>
      <c r="O13" s="38">
        <f t="shared" si="1"/>
        <v>22.5</v>
      </c>
      <c r="P13" s="45"/>
    </row>
    <row r="14" spans="2:16" ht="14.4" customHeight="1" x14ac:dyDescent="0.3">
      <c r="B14" s="34"/>
      <c r="G14" s="39" t="s">
        <v>16</v>
      </c>
      <c r="H14" s="63">
        <f>+$D$12*0.1111</f>
        <v>4.9995000000000003</v>
      </c>
      <c r="I14" s="40">
        <f>+$D$12*0.125</f>
        <v>5.625</v>
      </c>
      <c r="J14" s="40">
        <f>+$D$12*0.1429</f>
        <v>6.4305000000000003</v>
      </c>
      <c r="K14" s="40">
        <f>+$D$12*0.1667</f>
        <v>7.5014999999999992</v>
      </c>
      <c r="L14" s="40">
        <f>+$D$12*0.2</f>
        <v>9</v>
      </c>
      <c r="M14" s="40">
        <f>+($D$12)*0.25</f>
        <v>11.25</v>
      </c>
      <c r="N14" s="40">
        <f>+$D$12*0.3333</f>
        <v>14.9985</v>
      </c>
      <c r="O14" s="41">
        <f>+$D$12*0.5</f>
        <v>22.5</v>
      </c>
      <c r="P14" s="45"/>
    </row>
    <row r="15" spans="2:16" ht="14.4" customHeight="1" x14ac:dyDescent="0.3">
      <c r="B15" s="34"/>
      <c r="H15" s="59"/>
      <c r="I15" s="31"/>
      <c r="J15" s="31"/>
      <c r="K15" s="31"/>
      <c r="L15" s="31"/>
      <c r="M15" s="31"/>
      <c r="N15" s="31"/>
      <c r="O15" s="31"/>
      <c r="P15" s="45"/>
    </row>
    <row r="16" spans="2:16" ht="14.4" customHeight="1" x14ac:dyDescent="0.3">
      <c r="B16" s="34"/>
      <c r="G16" s="23" t="s">
        <v>14</v>
      </c>
      <c r="H16" s="64">
        <f t="shared" ref="H16:O16" si="2">+H10+H14+H11</f>
        <v>45</v>
      </c>
      <c r="I16" s="18">
        <f t="shared" si="2"/>
        <v>45</v>
      </c>
      <c r="J16" s="18">
        <f t="shared" si="2"/>
        <v>45</v>
      </c>
      <c r="K16" s="18">
        <f t="shared" si="2"/>
        <v>45</v>
      </c>
      <c r="L16" s="18">
        <f t="shared" si="2"/>
        <v>45</v>
      </c>
      <c r="M16" s="18">
        <f t="shared" si="2"/>
        <v>45</v>
      </c>
      <c r="N16" s="18">
        <f t="shared" si="2"/>
        <v>45</v>
      </c>
      <c r="O16" s="19">
        <f t="shared" si="2"/>
        <v>45</v>
      </c>
      <c r="P16" s="45"/>
    </row>
    <row r="17" spans="2:16" ht="14.4" customHeight="1" x14ac:dyDescent="0.3">
      <c r="B17" s="34"/>
      <c r="H17" s="65"/>
      <c r="I17" s="43"/>
      <c r="J17" s="43"/>
      <c r="K17" s="43"/>
      <c r="L17" s="43"/>
      <c r="M17" s="43"/>
      <c r="N17" s="43"/>
      <c r="O17" s="43"/>
      <c r="P17" s="45"/>
    </row>
    <row r="18" spans="2:16" ht="14.4" customHeight="1" thickBot="1" x14ac:dyDescent="0.35">
      <c r="B18" s="34"/>
      <c r="G18" s="2" t="s">
        <v>10</v>
      </c>
      <c r="H18" s="66">
        <f t="shared" ref="H18:O18" si="3">+H13/H14</f>
        <v>8.0009000900090008</v>
      </c>
      <c r="I18" s="15">
        <f t="shared" si="3"/>
        <v>7</v>
      </c>
      <c r="J18" s="15">
        <f t="shared" si="3"/>
        <v>5.9979006298110562</v>
      </c>
      <c r="K18" s="15">
        <f t="shared" si="3"/>
        <v>4.9988002399520104</v>
      </c>
      <c r="L18" s="15">
        <f t="shared" si="3"/>
        <v>4</v>
      </c>
      <c r="M18" s="15">
        <f t="shared" si="3"/>
        <v>3</v>
      </c>
      <c r="N18" s="15">
        <f t="shared" si="3"/>
        <v>2.0003000300030003</v>
      </c>
      <c r="O18" s="16">
        <f t="shared" si="3"/>
        <v>1</v>
      </c>
      <c r="P18" s="45"/>
    </row>
    <row r="19" spans="2:16" ht="14.4" customHeight="1" x14ac:dyDescent="0.3">
      <c r="B19" s="34"/>
      <c r="P19" s="45"/>
    </row>
    <row r="20" spans="2:16" ht="14.4" customHeight="1" x14ac:dyDescent="0.3">
      <c r="B20" s="34"/>
      <c r="H20" s="35"/>
      <c r="I20" s="35"/>
      <c r="J20" s="35"/>
      <c r="K20" s="35"/>
      <c r="L20" s="35"/>
      <c r="M20" s="35"/>
      <c r="N20" s="35"/>
      <c r="O20" s="35"/>
      <c r="P20" s="45"/>
    </row>
    <row r="21" spans="2:16" ht="14.4" customHeight="1" x14ac:dyDescent="0.3">
      <c r="B21" s="34"/>
      <c r="C21" s="52" t="s">
        <v>17</v>
      </c>
      <c r="D21" s="53" t="s">
        <v>26</v>
      </c>
      <c r="P21" s="45"/>
    </row>
    <row r="22" spans="2:16" ht="14.4" customHeight="1" x14ac:dyDescent="0.3">
      <c r="B22" s="34"/>
      <c r="D22" s="53" t="s">
        <v>23</v>
      </c>
      <c r="F22" s="24"/>
      <c r="P22" s="45"/>
    </row>
    <row r="23" spans="2:16" ht="14.4" customHeight="1" x14ac:dyDescent="0.3">
      <c r="B23" s="34"/>
      <c r="C23" s="24"/>
      <c r="D23" s="53" t="s">
        <v>18</v>
      </c>
      <c r="F23" s="24"/>
      <c r="I23" s="43"/>
      <c r="J23" s="43"/>
      <c r="K23" s="43"/>
      <c r="L23" s="43"/>
      <c r="M23" s="43"/>
      <c r="N23" s="43"/>
      <c r="O23" s="43"/>
      <c r="P23" s="45"/>
    </row>
    <row r="24" spans="2:16" ht="14.4" customHeight="1" x14ac:dyDescent="0.3">
      <c r="B24" s="34"/>
      <c r="D24" s="53" t="s">
        <v>19</v>
      </c>
      <c r="I24" s="43"/>
      <c r="J24" s="43"/>
      <c r="K24" s="43"/>
      <c r="L24" s="43"/>
      <c r="M24" s="43"/>
      <c r="N24" s="43"/>
      <c r="O24" s="43"/>
      <c r="P24" s="45"/>
    </row>
    <row r="25" spans="2:16" ht="14.4" customHeight="1" x14ac:dyDescent="0.3">
      <c r="B25" s="34"/>
      <c r="P25" s="45"/>
    </row>
    <row r="26" spans="2:16" ht="14.4" customHeight="1" x14ac:dyDescent="0.3">
      <c r="B26" s="2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7"/>
    </row>
    <row r="32" spans="2:16" x14ac:dyDescent="0.3">
      <c r="F32" t="s">
        <v>8</v>
      </c>
      <c r="G32" t="s">
        <v>8</v>
      </c>
      <c r="H32" t="s">
        <v>8</v>
      </c>
    </row>
    <row r="33" spans="6:8" x14ac:dyDescent="0.3">
      <c r="F33" t="s">
        <v>8</v>
      </c>
      <c r="G33" t="s">
        <v>8</v>
      </c>
      <c r="H3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</dc:creator>
  <cp:lastModifiedBy>Cary Endlich</cp:lastModifiedBy>
  <dcterms:created xsi:type="dcterms:W3CDTF">2021-06-11T23:22:34Z</dcterms:created>
  <dcterms:modified xsi:type="dcterms:W3CDTF">2024-07-26T22:03:51Z</dcterms:modified>
</cp:coreProperties>
</file>
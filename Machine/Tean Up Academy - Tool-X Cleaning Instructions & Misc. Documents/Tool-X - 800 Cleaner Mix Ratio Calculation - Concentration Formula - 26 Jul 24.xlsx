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fluidtech-my.sharepoint.com/personal/cary_nanofluidtech_com/Documents/Documents/"/>
    </mc:Choice>
  </mc:AlternateContent>
  <xr:revisionPtr revIDLastSave="1" documentId="8_{A0194451-247E-41F1-B2E9-51764B51DBC6}" xr6:coauthVersionLast="47" xr6:coauthVersionMax="47" xr10:uidLastSave="{2DB75E16-D3B8-49E2-8296-6E8287D44613}"/>
  <bookViews>
    <workbookView xWindow="-28920" yWindow="-120" windowWidth="29040" windowHeight="15720" xr2:uid="{D6682788-D1FC-47A4-A8C9-DD6E695C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8" i="1" l="1"/>
  <c r="D30" i="1"/>
  <c r="D29" i="1"/>
  <c r="E37" i="1"/>
  <c r="F37" i="1" s="1"/>
  <c r="G37" i="1" s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R13" i="1"/>
  <c r="Q13" i="1"/>
  <c r="P13" i="1"/>
  <c r="R9" i="1"/>
  <c r="Q9" i="1"/>
  <c r="P9" i="1"/>
  <c r="O13" i="1"/>
  <c r="N13" i="1"/>
  <c r="O9" i="1"/>
  <c r="N9" i="1"/>
  <c r="M13" i="1"/>
  <c r="L13" i="1"/>
  <c r="K13" i="1"/>
  <c r="J13" i="1"/>
  <c r="I13" i="1"/>
  <c r="H13" i="1"/>
  <c r="G13" i="1"/>
  <c r="F13" i="1"/>
  <c r="E13" i="1"/>
  <c r="H37" i="1" l="1"/>
  <c r="H39" i="1" s="1"/>
  <c r="G39" i="1"/>
  <c r="G41" i="1" s="1"/>
  <c r="E39" i="1"/>
  <c r="E44" i="1" s="1"/>
  <c r="F39" i="1"/>
  <c r="F43" i="1" s="1"/>
  <c r="R15" i="1"/>
  <c r="R20" i="1" s="1"/>
  <c r="P15" i="1"/>
  <c r="P20" i="1" s="1"/>
  <c r="Q15" i="1"/>
  <c r="Q19" i="1" s="1"/>
  <c r="N15" i="1"/>
  <c r="O15" i="1"/>
  <c r="O19" i="1" s="1"/>
  <c r="P19" i="1" l="1"/>
  <c r="I37" i="1"/>
  <c r="J37" i="1" s="1"/>
  <c r="R19" i="1"/>
  <c r="O17" i="1"/>
  <c r="O20" i="1"/>
  <c r="G35" i="1"/>
  <c r="G44" i="1"/>
  <c r="G43" i="1"/>
  <c r="Q17" i="1"/>
  <c r="Q20" i="1"/>
  <c r="H35" i="1"/>
  <c r="H44" i="1"/>
  <c r="H43" i="1"/>
  <c r="F41" i="1"/>
  <c r="F44" i="1"/>
  <c r="N11" i="1"/>
  <c r="N19" i="1"/>
  <c r="N20" i="1"/>
  <c r="E43" i="1"/>
  <c r="H41" i="1"/>
  <c r="F35" i="1"/>
  <c r="E41" i="1"/>
  <c r="E35" i="1"/>
  <c r="P11" i="1"/>
  <c r="R11" i="1"/>
  <c r="R17" i="1"/>
  <c r="P17" i="1"/>
  <c r="Q11" i="1"/>
  <c r="N17" i="1"/>
  <c r="O11" i="1"/>
  <c r="I39" i="1" l="1"/>
  <c r="I43" i="1" s="1"/>
  <c r="K37" i="1"/>
  <c r="J39" i="1"/>
  <c r="I44" i="1" l="1"/>
  <c r="I35" i="1"/>
  <c r="I41" i="1"/>
  <c r="J44" i="1"/>
  <c r="J43" i="1"/>
  <c r="L37" i="1"/>
  <c r="K39" i="1"/>
  <c r="J35" i="1"/>
  <c r="J41" i="1"/>
  <c r="K44" i="1" l="1"/>
  <c r="K43" i="1"/>
  <c r="K35" i="1"/>
  <c r="K41" i="1"/>
  <c r="M37" i="1"/>
  <c r="L39" i="1"/>
  <c r="L44" i="1" l="1"/>
  <c r="L43" i="1"/>
  <c r="L41" i="1"/>
  <c r="L35" i="1"/>
  <c r="N37" i="1"/>
  <c r="M39" i="1"/>
  <c r="M44" i="1" l="1"/>
  <c r="M43" i="1"/>
  <c r="O37" i="1"/>
  <c r="N39" i="1"/>
  <c r="M41" i="1"/>
  <c r="M35" i="1"/>
  <c r="N44" i="1" l="1"/>
  <c r="N43" i="1"/>
  <c r="P37" i="1"/>
  <c r="O39" i="1"/>
  <c r="N41" i="1"/>
  <c r="N35" i="1"/>
  <c r="O44" i="1" l="1"/>
  <c r="O43" i="1"/>
  <c r="O41" i="1"/>
  <c r="O35" i="1"/>
  <c r="P39" i="1"/>
  <c r="Q37" i="1"/>
  <c r="P44" i="1" l="1"/>
  <c r="P43" i="1"/>
  <c r="R37" i="1"/>
  <c r="R39" i="1" s="1"/>
  <c r="Q39" i="1"/>
  <c r="P35" i="1"/>
  <c r="P41" i="1"/>
  <c r="Q44" i="1" l="1"/>
  <c r="Q43" i="1"/>
  <c r="R44" i="1"/>
  <c r="R43" i="1"/>
  <c r="Q41" i="1"/>
  <c r="Q35" i="1"/>
  <c r="R41" i="1"/>
  <c r="R35" i="1"/>
  <c r="G9" i="1"/>
  <c r="H9" i="1" l="1"/>
  <c r="J9" i="1"/>
  <c r="I9" i="1"/>
  <c r="F9" i="1"/>
  <c r="E9" i="1"/>
  <c r="D9" i="1"/>
  <c r="H15" i="1" l="1"/>
  <c r="H20" i="1" s="1"/>
  <c r="E15" i="1"/>
  <c r="E20" i="1" s="1"/>
  <c r="F15" i="1"/>
  <c r="F20" i="1" s="1"/>
  <c r="D15" i="1"/>
  <c r="D20" i="1" s="1"/>
  <c r="L9" i="1"/>
  <c r="K9" i="1"/>
  <c r="M9" i="1"/>
  <c r="D19" i="1" l="1"/>
  <c r="F19" i="1"/>
  <c r="H19" i="1"/>
  <c r="E19" i="1"/>
  <c r="F11" i="1"/>
  <c r="D17" i="1"/>
  <c r="D11" i="1"/>
  <c r="E17" i="1"/>
  <c r="E11" i="1"/>
  <c r="F17" i="1"/>
  <c r="G15" i="1" l="1"/>
  <c r="G20" i="1" l="1"/>
  <c r="G19" i="1"/>
  <c r="I15" i="1"/>
  <c r="G17" i="1"/>
  <c r="G11" i="1"/>
  <c r="I20" i="1" l="1"/>
  <c r="I19" i="1"/>
  <c r="H17" i="1"/>
  <c r="H11" i="1"/>
  <c r="I11" i="1"/>
  <c r="I17" i="1"/>
  <c r="J15" i="1"/>
  <c r="J20" i="1" l="1"/>
  <c r="J19" i="1"/>
  <c r="J11" i="1"/>
  <c r="J17" i="1"/>
  <c r="K15" i="1"/>
  <c r="K20" i="1" l="1"/>
  <c r="K19" i="1"/>
  <c r="K11" i="1"/>
  <c r="K17" i="1"/>
  <c r="L15" i="1"/>
  <c r="M15" i="1"/>
  <c r="M20" i="1" l="1"/>
  <c r="M19" i="1"/>
  <c r="L20" i="1"/>
  <c r="L19" i="1"/>
  <c r="M11" i="1"/>
  <c r="L17" i="1"/>
  <c r="L11" i="1"/>
  <c r="M17" i="1"/>
  <c r="D39" i="1"/>
  <c r="D41" i="1" s="1"/>
  <c r="D35" i="1" l="1"/>
  <c r="D43" i="1"/>
  <c r="D44" i="1"/>
</calcChain>
</file>

<file path=xl/sharedStrings.xml><?xml version="1.0" encoding="utf-8"?>
<sst xmlns="http://schemas.openxmlformats.org/spreadsheetml/2006/main" count="55" uniqueCount="22">
  <si>
    <t xml:space="preserve"> </t>
  </si>
  <si>
    <t>Total - Fluids = Tank Size</t>
  </si>
  <si>
    <t xml:space="preserve">Total Water:   </t>
  </si>
  <si>
    <t xml:space="preserve">Cleaner Added (Gallon):   </t>
  </si>
  <si>
    <t>Concentration - Exact %</t>
  </si>
  <si>
    <t>Concentration - Rounded %</t>
  </si>
  <si>
    <t xml:space="preserve">Cleaner Added (Ounces):   </t>
  </si>
  <si>
    <t>oz.</t>
  </si>
  <si>
    <t>Gallons</t>
  </si>
  <si>
    <t xml:space="preserve">Tool-X - Sump Co Cleaner:   </t>
  </si>
  <si>
    <t>Total Percentage - Water &amp; Cleaner:</t>
  </si>
  <si>
    <t xml:space="preserve">Unit of Measure:      </t>
  </si>
  <si>
    <t xml:space="preserve">Machine Tank Size:      </t>
  </si>
  <si>
    <t>(After Spent Coolant is Drained - .25% to 1.0%)</t>
  </si>
  <si>
    <t xml:space="preserve"> Tool-X Cleaner Mixture Rate Calculation </t>
  </si>
  <si>
    <t>(Before Spent Coolant is Drained - 1.00% to 2.0%)</t>
  </si>
  <si>
    <t xml:space="preserve">    Tool-X Cleaner Mixture Rate Calculation </t>
  </si>
  <si>
    <t>Very Dirty</t>
  </si>
  <si>
    <t>Very Clean</t>
  </si>
  <si>
    <t>Clean</t>
  </si>
  <si>
    <t>Dirty</t>
  </si>
  <si>
    <t>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</si>
</sst>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0.000%"/>
  </numFmts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7" xfId="0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4" xfId="0" applyBorder="1"/>
    <xf numFmtId="9" fontId="0" fillId="0" borderId="15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0" fillId="0" borderId="8" xfId="1" quotePrefix="1" applyNumberFormat="1" applyFont="1" applyBorder="1" applyAlignment="1">
      <alignment horizontal="center" vertical="center"/>
    </xf>
    <xf numFmtId="10" fontId="0" fillId="0" borderId="8" xfId="1" quotePrefix="1" applyNumberFormat="1" applyFont="1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43" fontId="0" fillId="0" borderId="8" xfId="2" applyFont="1" applyBorder="1" applyAlignment="1">
      <alignment horizontal="center" vertical="center"/>
    </xf>
    <xf numFmtId="43" fontId="0" fillId="0" borderId="8" xfId="2" applyFont="1" applyBorder="1"/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right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/>
    <xf numFmtId="165" fontId="0" fillId="0" borderId="11" xfId="1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right"/>
    </xf>
    <xf numFmtId="9" fontId="0" fillId="0" borderId="18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166" fontId="0" fillId="0" borderId="7" xfId="1" quotePrefix="1" applyNumberFormat="1" applyFont="1" applyBorder="1" applyAlignment="1">
      <alignment horizontal="center" vertical="center"/>
    </xf>
    <xf numFmtId="10" fontId="0" fillId="0" borderId="7" xfId="1" quotePrefix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43" fontId="0" fillId="0" borderId="7" xfId="2" applyFont="1" applyBorder="1" applyAlignment="1">
      <alignment horizontal="center" vertical="center"/>
    </xf>
    <xf numFmtId="43" fontId="0" fillId="0" borderId="7" xfId="2" applyFont="1" applyBorder="1"/>
    <xf numFmtId="164" fontId="0" fillId="0" borderId="7" xfId="0" applyNumberFormat="1" applyBorder="1" applyAlignment="1">
      <alignment horizontal="center" vertical="center"/>
    </xf>
    <xf numFmtId="165" fontId="0" fillId="0" borderId="9" xfId="1" applyNumberFormat="1" applyFont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9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166" fontId="0" fillId="0" borderId="21" xfId="1" quotePrefix="1" applyNumberFormat="1" applyFont="1" applyBorder="1" applyAlignment="1">
      <alignment horizontal="center" vertical="center"/>
    </xf>
    <xf numFmtId="10" fontId="0" fillId="0" borderId="21" xfId="1" quotePrefix="1" applyNumberFormat="1" applyFont="1" applyBorder="1" applyAlignment="1">
      <alignment horizontal="center" vertical="center"/>
    </xf>
    <xf numFmtId="10" fontId="0" fillId="0" borderId="22" xfId="1" applyNumberFormat="1" applyFont="1" applyBorder="1" applyAlignment="1">
      <alignment horizontal="center" vertical="center"/>
    </xf>
    <xf numFmtId="0" fontId="0" fillId="0" borderId="21" xfId="0" applyBorder="1"/>
    <xf numFmtId="43" fontId="0" fillId="0" borderId="21" xfId="2" applyFont="1" applyBorder="1" applyAlignment="1">
      <alignment horizontal="center" vertical="center"/>
    </xf>
    <xf numFmtId="43" fontId="0" fillId="0" borderId="21" xfId="2" applyFont="1" applyBorder="1"/>
    <xf numFmtId="2" fontId="0" fillId="2" borderId="19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1" xfId="0" applyNumberFormat="1" applyBorder="1" applyAlignment="1">
      <alignment horizontal="center" vertical="center"/>
    </xf>
    <xf numFmtId="165" fontId="0" fillId="0" borderId="23" xfId="1" applyNumberFormat="1" applyFont="1" applyBorder="1" applyAlignment="1">
      <alignment horizontal="center" vertical="center"/>
    </xf>
    <xf numFmtId="0" fontId="0" fillId="0" borderId="11" xfId="0" applyBorder="1"/>
    <xf numFmtId="0" fontId="0" fillId="0" borderId="5" xfId="0" applyBorder="1"/>
    <xf numFmtId="0" fontId="0" fillId="0" borderId="10" xfId="0" applyBorder="1"/>
    <xf numFmtId="2" fontId="4" fillId="3" borderId="19" xfId="0" applyNumberFormat="1" applyFont="1" applyFill="1" applyBorder="1" applyAlignment="1">
      <alignment horizontal="center"/>
    </xf>
    <xf numFmtId="2" fontId="4" fillId="3" borderId="14" xfId="0" applyNumberFormat="1" applyFont="1" applyFill="1" applyBorder="1" applyAlignment="1">
      <alignment horizontal="center"/>
    </xf>
    <xf numFmtId="2" fontId="0" fillId="0" borderId="17" xfId="2" applyNumberFormat="1" applyFont="1" applyBorder="1" applyAlignment="1">
      <alignment vertical="center"/>
    </xf>
    <xf numFmtId="2" fontId="0" fillId="0" borderId="25" xfId="2" applyNumberFormat="1" applyFont="1" applyBorder="1" applyAlignment="1">
      <alignment vertical="center"/>
    </xf>
    <xf numFmtId="2" fontId="0" fillId="0" borderId="22" xfId="2" applyNumberFormat="1" applyFont="1" applyBorder="1" applyAlignment="1">
      <alignment vertical="center"/>
    </xf>
    <xf numFmtId="10" fontId="0" fillId="0" borderId="25" xfId="1" applyNumberFormat="1" applyFont="1" applyBorder="1" applyAlignment="1">
      <alignment horizontal="center" vertical="center"/>
    </xf>
    <xf numFmtId="2" fontId="0" fillId="0" borderId="2" xfId="2" applyNumberFormat="1" applyFont="1" applyBorder="1" applyAlignment="1">
      <alignment vertical="center"/>
    </xf>
    <xf numFmtId="2" fontId="0" fillId="0" borderId="26" xfId="0" applyNumberFormat="1" applyBorder="1" applyAlignment="1">
      <alignment vertical="center"/>
    </xf>
    <xf numFmtId="2" fontId="0" fillId="0" borderId="12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27" xfId="0" applyNumberFormat="1" applyBorder="1" applyAlignment="1">
      <alignment vertical="center"/>
    </xf>
    <xf numFmtId="164" fontId="4" fillId="4" borderId="3" xfId="0" applyNumberFormat="1" applyFont="1" applyFill="1" applyBorder="1" applyAlignment="1">
      <alignment horizontal="center" vertical="center"/>
    </xf>
    <xf numFmtId="9" fontId="4" fillId="4" borderId="24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FB21-8BFD-4F6C-AF6B-7FF195FE97A9}">
  <dimension ref="B2:S48"/>
  <sheetViews>
    <sheetView tabSelected="1" workbookViewId="0">
      <selection activeCell="R29" sqref="R29"/>
    </sheetView>
  </sheetViews>
  <sheetFormatPr defaultRowHeight="14.4" x14ac:dyDescent="0.3"/>
  <cols>
    <col min="1" max="1" width="2.6640625" customWidth="1"/>
    <col min="2" max="2" width="2.5546875" customWidth="1"/>
    <col min="3" max="3" width="32" customWidth="1"/>
    <col min="4" max="18" width="9.88671875" customWidth="1"/>
    <col min="19" max="19" width="2.77734375" customWidth="1"/>
  </cols>
  <sheetData>
    <row r="2" spans="2:19" ht="4.95" customHeight="1" thickBot="1" x14ac:dyDescent="0.35">
      <c r="D2" s="2"/>
    </row>
    <row r="3" spans="2:19" ht="7.2" customHeight="1" x14ac:dyDescent="0.3">
      <c r="B3" s="12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6"/>
    </row>
    <row r="4" spans="2:19" ht="24" thickBot="1" x14ac:dyDescent="0.5">
      <c r="B4" s="9"/>
      <c r="C4" s="1" t="s">
        <v>0</v>
      </c>
      <c r="D4" t="s">
        <v>0</v>
      </c>
      <c r="E4" t="s">
        <v>0</v>
      </c>
      <c r="H4" s="3" t="s">
        <v>14</v>
      </c>
      <c r="R4" s="4">
        <v>45499</v>
      </c>
      <c r="S4" s="8"/>
    </row>
    <row r="5" spans="2:19" ht="15" thickBot="1" x14ac:dyDescent="0.35">
      <c r="B5" s="9"/>
      <c r="C5" s="11" t="s">
        <v>12</v>
      </c>
      <c r="D5" s="64">
        <v>45</v>
      </c>
      <c r="I5" s="68" t="s">
        <v>13</v>
      </c>
      <c r="J5" s="68"/>
      <c r="K5" s="68"/>
      <c r="L5" s="68"/>
      <c r="S5" s="8"/>
    </row>
    <row r="6" spans="2:19" ht="15" thickBot="1" x14ac:dyDescent="0.35">
      <c r="B6" s="9"/>
      <c r="C6" s="10" t="s">
        <v>11</v>
      </c>
      <c r="D6" s="65" t="s">
        <v>8</v>
      </c>
      <c r="E6" s="69" t="s">
        <v>18</v>
      </c>
      <c r="G6" s="69" t="s">
        <v>19</v>
      </c>
      <c r="H6" s="70" t="s">
        <v>21</v>
      </c>
      <c r="I6" s="70" t="s">
        <v>21</v>
      </c>
      <c r="J6" s="70" t="s">
        <v>21</v>
      </c>
      <c r="K6" s="70" t="s">
        <v>21</v>
      </c>
      <c r="L6" s="70" t="s">
        <v>21</v>
      </c>
      <c r="M6" s="69" t="s">
        <v>20</v>
      </c>
      <c r="P6" s="69" t="s">
        <v>17</v>
      </c>
      <c r="Q6" s="5">
        <v>128</v>
      </c>
      <c r="R6" s="5" t="s">
        <v>7</v>
      </c>
      <c r="S6" s="8"/>
    </row>
    <row r="7" spans="2:19" ht="7.2" customHeight="1" thickBot="1" x14ac:dyDescent="0.35">
      <c r="B7" s="9"/>
      <c r="S7" s="8"/>
    </row>
    <row r="8" spans="2:19" x14ac:dyDescent="0.3">
      <c r="B8" s="9"/>
      <c r="C8" s="12"/>
      <c r="D8" s="27" t="str">
        <f t="shared" ref="D8:R8" si="0">+$D$6</f>
        <v>Gallons</v>
      </c>
      <c r="E8" s="38" t="str">
        <f t="shared" si="0"/>
        <v>Gallons</v>
      </c>
      <c r="F8" s="38" t="str">
        <f t="shared" si="0"/>
        <v>Gallons</v>
      </c>
      <c r="G8" s="38" t="str">
        <f t="shared" si="0"/>
        <v>Gallons</v>
      </c>
      <c r="H8" s="38" t="str">
        <f t="shared" si="0"/>
        <v>Gallons</v>
      </c>
      <c r="I8" s="38" t="str">
        <f t="shared" si="0"/>
        <v>Gallons</v>
      </c>
      <c r="J8" s="38" t="str">
        <f t="shared" si="0"/>
        <v>Gallons</v>
      </c>
      <c r="K8" s="38" t="str">
        <f t="shared" si="0"/>
        <v>Gallons</v>
      </c>
      <c r="L8" s="38" t="str">
        <f t="shared" si="0"/>
        <v>Gallons</v>
      </c>
      <c r="M8" s="38" t="str">
        <f t="shared" si="0"/>
        <v>Gallons</v>
      </c>
      <c r="N8" s="38" t="str">
        <f t="shared" si="0"/>
        <v>Gallons</v>
      </c>
      <c r="O8" s="38" t="str">
        <f t="shared" si="0"/>
        <v>Gallons</v>
      </c>
      <c r="P8" s="38" t="str">
        <f t="shared" si="0"/>
        <v>Gallons</v>
      </c>
      <c r="Q8" s="38" t="str">
        <f t="shared" si="0"/>
        <v>Gallons</v>
      </c>
      <c r="R8" s="13" t="str">
        <f t="shared" si="0"/>
        <v>Gallons</v>
      </c>
      <c r="S8" s="8"/>
    </row>
    <row r="9" spans="2:19" x14ac:dyDescent="0.3">
      <c r="B9" s="9"/>
      <c r="C9" s="14" t="s">
        <v>1</v>
      </c>
      <c r="D9" s="28">
        <f t="shared" ref="D9:R9" si="1">+$D$5</f>
        <v>45</v>
      </c>
      <c r="E9" s="39">
        <f t="shared" si="1"/>
        <v>45</v>
      </c>
      <c r="F9" s="39">
        <f t="shared" si="1"/>
        <v>45</v>
      </c>
      <c r="G9" s="39">
        <f t="shared" si="1"/>
        <v>45</v>
      </c>
      <c r="H9" s="39">
        <f t="shared" si="1"/>
        <v>45</v>
      </c>
      <c r="I9" s="39">
        <f t="shared" si="1"/>
        <v>45</v>
      </c>
      <c r="J9" s="39">
        <f t="shared" si="1"/>
        <v>45</v>
      </c>
      <c r="K9" s="39">
        <f t="shared" si="1"/>
        <v>45</v>
      </c>
      <c r="L9" s="39">
        <f t="shared" si="1"/>
        <v>45</v>
      </c>
      <c r="M9" s="39">
        <f t="shared" si="1"/>
        <v>45</v>
      </c>
      <c r="N9" s="39">
        <f t="shared" si="1"/>
        <v>45</v>
      </c>
      <c r="O9" s="39">
        <f t="shared" si="1"/>
        <v>45</v>
      </c>
      <c r="P9" s="39">
        <f t="shared" si="1"/>
        <v>45</v>
      </c>
      <c r="Q9" s="39">
        <f t="shared" si="1"/>
        <v>45</v>
      </c>
      <c r="R9" s="15">
        <f t="shared" si="1"/>
        <v>45</v>
      </c>
      <c r="S9" s="8"/>
    </row>
    <row r="10" spans="2:19" x14ac:dyDescent="0.3">
      <c r="B10" s="9"/>
      <c r="C10" s="14"/>
      <c r="D10" s="2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15"/>
      <c r="S10" s="8"/>
    </row>
    <row r="11" spans="2:19" x14ac:dyDescent="0.3">
      <c r="B11" s="9"/>
      <c r="C11" s="9" t="s">
        <v>4</v>
      </c>
      <c r="D11" s="29">
        <f t="shared" ref="D11:R11" si="2">+D15/(D9+D15)*100%</f>
        <v>2.4937655860349131E-3</v>
      </c>
      <c r="E11" s="40">
        <f t="shared" si="2"/>
        <v>3.1152647975077881E-3</v>
      </c>
      <c r="F11" s="40">
        <f t="shared" si="2"/>
        <v>3.7359900373598997E-3</v>
      </c>
      <c r="G11" s="40">
        <f t="shared" si="2"/>
        <v>4.3559427504667085E-3</v>
      </c>
      <c r="H11" s="40">
        <f t="shared" si="2"/>
        <v>4.9751243781094526E-3</v>
      </c>
      <c r="I11" s="40">
        <f t="shared" si="2"/>
        <v>5.2844264843021444E-3</v>
      </c>
      <c r="J11" s="40">
        <f t="shared" si="2"/>
        <v>5.5935363579863269E-3</v>
      </c>
      <c r="K11" s="40">
        <f t="shared" si="2"/>
        <v>6.2111801242236021E-3</v>
      </c>
      <c r="L11" s="40">
        <f t="shared" si="2"/>
        <v>6.8280571073867161E-3</v>
      </c>
      <c r="M11" s="40">
        <f t="shared" si="2"/>
        <v>7.4441687344913143E-3</v>
      </c>
      <c r="N11" s="40">
        <f t="shared" si="2"/>
        <v>7.7396308791426883E-3</v>
      </c>
      <c r="O11" s="40">
        <f t="shared" si="2"/>
        <v>8.0595164290142591E-3</v>
      </c>
      <c r="P11" s="40">
        <f t="shared" si="2"/>
        <v>8.3669042454291905E-3</v>
      </c>
      <c r="Q11" s="40">
        <f t="shared" si="2"/>
        <v>8.6741016109045856E-3</v>
      </c>
      <c r="R11" s="16">
        <f t="shared" si="2"/>
        <v>9.9009900990099011E-3</v>
      </c>
      <c r="S11" s="8"/>
    </row>
    <row r="12" spans="2:19" x14ac:dyDescent="0.3">
      <c r="B12" s="9"/>
      <c r="C12" s="9"/>
      <c r="D12" s="3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17"/>
      <c r="S12" s="8"/>
    </row>
    <row r="13" spans="2:19" x14ac:dyDescent="0.3">
      <c r="B13" s="9"/>
      <c r="C13" s="9" t="s">
        <v>5</v>
      </c>
      <c r="D13" s="31">
        <v>2.5000000000000001E-3</v>
      </c>
      <c r="E13" s="42">
        <f>+D13*1.25</f>
        <v>3.1250000000000002E-3</v>
      </c>
      <c r="F13" s="42">
        <f>+D13*1.5</f>
        <v>3.7499999999999999E-3</v>
      </c>
      <c r="G13" s="42">
        <f>+D13*1.75</f>
        <v>4.3750000000000004E-3</v>
      </c>
      <c r="H13" s="42">
        <f>+D13*2</f>
        <v>5.0000000000000001E-3</v>
      </c>
      <c r="I13" s="42">
        <f>+D13*2.125</f>
        <v>5.3125000000000004E-3</v>
      </c>
      <c r="J13" s="42">
        <f>+D13*2.25</f>
        <v>5.6249999999999998E-3</v>
      </c>
      <c r="K13" s="42">
        <f>+D13*2.5</f>
        <v>6.2500000000000003E-3</v>
      </c>
      <c r="L13" s="42">
        <f>+D13*2.75</f>
        <v>6.875E-3</v>
      </c>
      <c r="M13" s="42">
        <f>+D13*3</f>
        <v>7.4999999999999997E-3</v>
      </c>
      <c r="N13" s="42">
        <f>+D13*3.12</f>
        <v>7.8000000000000005E-3</v>
      </c>
      <c r="O13" s="42">
        <f>+D13*3.25</f>
        <v>8.1250000000000003E-3</v>
      </c>
      <c r="P13" s="42">
        <f>+D13*3.375</f>
        <v>8.4375000000000006E-3</v>
      </c>
      <c r="Q13" s="42">
        <f>+D13*3.5</f>
        <v>8.7500000000000008E-3</v>
      </c>
      <c r="R13" s="18">
        <f>+D13*4</f>
        <v>0.01</v>
      </c>
      <c r="S13" s="8"/>
    </row>
    <row r="14" spans="2:19" x14ac:dyDescent="0.3">
      <c r="B14" s="9"/>
      <c r="C14" s="9"/>
      <c r="D14" s="9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8"/>
      <c r="S14" s="8"/>
    </row>
    <row r="15" spans="2:19" x14ac:dyDescent="0.3">
      <c r="B15" s="9" t="s">
        <v>0</v>
      </c>
      <c r="C15" s="7" t="s">
        <v>3</v>
      </c>
      <c r="D15" s="32">
        <f t="shared" ref="D15:R15" si="3">+(D13/D22)*D9</f>
        <v>0.1125</v>
      </c>
      <c r="E15" s="44">
        <f t="shared" si="3"/>
        <v>0.140625</v>
      </c>
      <c r="F15" s="44">
        <f t="shared" si="3"/>
        <v>0.16874999999999998</v>
      </c>
      <c r="G15" s="44">
        <f t="shared" si="3"/>
        <v>0.19687500000000002</v>
      </c>
      <c r="H15" s="44">
        <f t="shared" si="3"/>
        <v>0.22500000000000001</v>
      </c>
      <c r="I15" s="44">
        <f t="shared" si="3"/>
        <v>0.23906250000000001</v>
      </c>
      <c r="J15" s="44">
        <f t="shared" si="3"/>
        <v>0.25312499999999999</v>
      </c>
      <c r="K15" s="44">
        <f t="shared" si="3"/>
        <v>0.28125</v>
      </c>
      <c r="L15" s="44">
        <f t="shared" si="3"/>
        <v>0.30937500000000001</v>
      </c>
      <c r="M15" s="44">
        <f t="shared" si="3"/>
        <v>0.33749999999999997</v>
      </c>
      <c r="N15" s="44">
        <f t="shared" si="3"/>
        <v>0.35100000000000003</v>
      </c>
      <c r="O15" s="44">
        <f t="shared" si="3"/>
        <v>0.36562500000000003</v>
      </c>
      <c r="P15" s="44">
        <f t="shared" si="3"/>
        <v>0.37968750000000001</v>
      </c>
      <c r="Q15" s="44">
        <f t="shared" si="3"/>
        <v>0.39375000000000004</v>
      </c>
      <c r="R15" s="19">
        <f t="shared" si="3"/>
        <v>0.45</v>
      </c>
      <c r="S15" s="8"/>
    </row>
    <row r="16" spans="2:19" ht="15" thickBot="1" x14ac:dyDescent="0.35">
      <c r="B16" s="9"/>
      <c r="C16" s="7"/>
      <c r="D16" s="33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20"/>
      <c r="S16" s="8"/>
    </row>
    <row r="17" spans="2:19" ht="15" thickBot="1" x14ac:dyDescent="0.35">
      <c r="B17" s="9" t="s">
        <v>0</v>
      </c>
      <c r="C17" s="26" t="s">
        <v>6</v>
      </c>
      <c r="D17" s="36">
        <f t="shared" ref="D17:R17" si="4">+D15*$Q$6</f>
        <v>14.4</v>
      </c>
      <c r="E17" s="46">
        <f t="shared" si="4"/>
        <v>18</v>
      </c>
      <c r="F17" s="46">
        <f t="shared" si="4"/>
        <v>21.599999999999998</v>
      </c>
      <c r="G17" s="46">
        <f t="shared" si="4"/>
        <v>25.200000000000003</v>
      </c>
      <c r="H17" s="46">
        <f t="shared" si="4"/>
        <v>28.8</v>
      </c>
      <c r="I17" s="46">
        <f t="shared" si="4"/>
        <v>30.6</v>
      </c>
      <c r="J17" s="46">
        <f t="shared" si="4"/>
        <v>32.4</v>
      </c>
      <c r="K17" s="46">
        <f t="shared" si="4"/>
        <v>36</v>
      </c>
      <c r="L17" s="46">
        <f t="shared" si="4"/>
        <v>39.6</v>
      </c>
      <c r="M17" s="46">
        <f t="shared" si="4"/>
        <v>43.199999999999996</v>
      </c>
      <c r="N17" s="46">
        <f t="shared" si="4"/>
        <v>44.928000000000004</v>
      </c>
      <c r="O17" s="46">
        <f t="shared" si="4"/>
        <v>46.800000000000004</v>
      </c>
      <c r="P17" s="46">
        <f t="shared" si="4"/>
        <v>48.6</v>
      </c>
      <c r="Q17" s="46">
        <f t="shared" si="4"/>
        <v>50.400000000000006</v>
      </c>
      <c r="R17" s="37">
        <f t="shared" si="4"/>
        <v>57.6</v>
      </c>
      <c r="S17" s="8"/>
    </row>
    <row r="18" spans="2:19" x14ac:dyDescent="0.3">
      <c r="B18" s="9"/>
      <c r="C18" s="9"/>
      <c r="D18" s="14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21"/>
      <c r="S18" s="8"/>
    </row>
    <row r="19" spans="2:19" x14ac:dyDescent="0.3">
      <c r="B19" s="9"/>
      <c r="C19" s="7" t="s">
        <v>2</v>
      </c>
      <c r="D19" s="60">
        <f>+D9-D15</f>
        <v>44.887500000000003</v>
      </c>
      <c r="E19" s="61">
        <f t="shared" ref="E19:G19" si="5">+E9-E15</f>
        <v>44.859375</v>
      </c>
      <c r="F19" s="62">
        <f t="shared" si="5"/>
        <v>44.831249999999997</v>
      </c>
      <c r="G19" s="62">
        <f t="shared" si="5"/>
        <v>44.803125000000001</v>
      </c>
      <c r="H19" s="62">
        <f t="shared" ref="H19:R19" si="6">+H9-H15</f>
        <v>44.774999999999999</v>
      </c>
      <c r="I19" s="62">
        <f t="shared" si="6"/>
        <v>44.760937499999997</v>
      </c>
      <c r="J19" s="62">
        <f t="shared" si="6"/>
        <v>44.746875000000003</v>
      </c>
      <c r="K19" s="62">
        <f t="shared" si="6"/>
        <v>44.71875</v>
      </c>
      <c r="L19" s="62">
        <f t="shared" si="6"/>
        <v>44.690624999999997</v>
      </c>
      <c r="M19" s="62">
        <f t="shared" si="6"/>
        <v>44.662500000000001</v>
      </c>
      <c r="N19" s="62">
        <f t="shared" si="6"/>
        <v>44.649000000000001</v>
      </c>
      <c r="O19" s="62">
        <f t="shared" si="6"/>
        <v>44.634374999999999</v>
      </c>
      <c r="P19" s="62">
        <f t="shared" si="6"/>
        <v>44.620312499999997</v>
      </c>
      <c r="Q19" s="62">
        <f t="shared" si="6"/>
        <v>44.606250000000003</v>
      </c>
      <c r="R19" s="63">
        <f t="shared" si="6"/>
        <v>44.55</v>
      </c>
      <c r="S19" s="8"/>
    </row>
    <row r="20" spans="2:19" x14ac:dyDescent="0.3">
      <c r="B20" s="9"/>
      <c r="C20" s="22" t="s">
        <v>9</v>
      </c>
      <c r="D20" s="55">
        <f>+D15</f>
        <v>0.1125</v>
      </c>
      <c r="E20" s="57">
        <f t="shared" ref="E20:G20" si="7">+E15</f>
        <v>0.140625</v>
      </c>
      <c r="F20" s="59">
        <f t="shared" si="7"/>
        <v>0.16874999999999998</v>
      </c>
      <c r="G20" s="59">
        <f t="shared" si="7"/>
        <v>0.19687500000000002</v>
      </c>
      <c r="H20" s="59">
        <f t="shared" ref="H20:R20" si="8">+H15</f>
        <v>0.22500000000000001</v>
      </c>
      <c r="I20" s="59">
        <f t="shared" si="8"/>
        <v>0.23906250000000001</v>
      </c>
      <c r="J20" s="59">
        <f t="shared" si="8"/>
        <v>0.25312499999999999</v>
      </c>
      <c r="K20" s="59">
        <f t="shared" si="8"/>
        <v>0.28125</v>
      </c>
      <c r="L20" s="59">
        <f t="shared" si="8"/>
        <v>0.30937500000000001</v>
      </c>
      <c r="M20" s="59">
        <f t="shared" si="8"/>
        <v>0.33749999999999997</v>
      </c>
      <c r="N20" s="59">
        <f t="shared" si="8"/>
        <v>0.35100000000000003</v>
      </c>
      <c r="O20" s="59">
        <f t="shared" si="8"/>
        <v>0.36562500000000003</v>
      </c>
      <c r="P20" s="59">
        <f t="shared" si="8"/>
        <v>0.37968750000000001</v>
      </c>
      <c r="Q20" s="59">
        <f t="shared" si="8"/>
        <v>0.39375000000000004</v>
      </c>
      <c r="R20" s="56">
        <f t="shared" si="8"/>
        <v>0.45</v>
      </c>
      <c r="S20" s="8"/>
    </row>
    <row r="21" spans="2:19" x14ac:dyDescent="0.3">
      <c r="B21" s="9"/>
      <c r="C21" s="9"/>
      <c r="D21" s="34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23"/>
      <c r="S21" s="8"/>
    </row>
    <row r="22" spans="2:19" ht="15" thickBot="1" x14ac:dyDescent="0.35">
      <c r="B22" s="9"/>
      <c r="C22" s="24" t="s">
        <v>10</v>
      </c>
      <c r="D22" s="35">
        <v>1</v>
      </c>
      <c r="E22" s="49">
        <v>1</v>
      </c>
      <c r="F22" s="49">
        <v>1</v>
      </c>
      <c r="G22" s="49">
        <v>1</v>
      </c>
      <c r="H22" s="49">
        <v>1</v>
      </c>
      <c r="I22" s="49">
        <v>1</v>
      </c>
      <c r="J22" s="49">
        <v>1</v>
      </c>
      <c r="K22" s="49">
        <v>1</v>
      </c>
      <c r="L22" s="49">
        <v>1</v>
      </c>
      <c r="M22" s="49">
        <v>1</v>
      </c>
      <c r="N22" s="49">
        <v>1</v>
      </c>
      <c r="O22" s="49">
        <v>1</v>
      </c>
      <c r="P22" s="49">
        <v>1</v>
      </c>
      <c r="Q22" s="49">
        <v>1</v>
      </c>
      <c r="R22" s="25">
        <v>1</v>
      </c>
      <c r="S22" s="8"/>
    </row>
    <row r="23" spans="2:19" ht="7.2" customHeight="1" x14ac:dyDescent="0.3">
      <c r="B23" s="9"/>
      <c r="S23" s="8"/>
    </row>
    <row r="24" spans="2:19" ht="7.2" customHeight="1" thickBot="1" x14ac:dyDescent="0.35">
      <c r="B24" s="24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0"/>
    </row>
    <row r="26" spans="2:19" ht="15" thickBot="1" x14ac:dyDescent="0.35"/>
    <row r="27" spans="2:19" ht="7.2" customHeight="1" x14ac:dyDescent="0.3">
      <c r="B27" s="12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6"/>
    </row>
    <row r="28" spans="2:19" ht="24" thickBot="1" x14ac:dyDescent="0.5">
      <c r="B28" s="9"/>
      <c r="C28" s="1" t="s">
        <v>0</v>
      </c>
      <c r="D28" t="s">
        <v>0</v>
      </c>
      <c r="E28" t="s">
        <v>0</v>
      </c>
      <c r="H28" s="3" t="s">
        <v>16</v>
      </c>
      <c r="R28" s="4">
        <f>+R4</f>
        <v>45499</v>
      </c>
      <c r="S28" s="8"/>
    </row>
    <row r="29" spans="2:19" ht="15" thickBot="1" x14ac:dyDescent="0.35">
      <c r="B29" s="9"/>
      <c r="C29" s="11" t="s">
        <v>12</v>
      </c>
      <c r="D29" s="66">
        <f>+D5</f>
        <v>45</v>
      </c>
      <c r="I29" s="68" t="s">
        <v>15</v>
      </c>
      <c r="J29" s="68"/>
      <c r="K29" s="68"/>
      <c r="L29" s="68"/>
      <c r="M29" s="68"/>
      <c r="S29" s="8"/>
    </row>
    <row r="30" spans="2:19" ht="15" thickBot="1" x14ac:dyDescent="0.35">
      <c r="B30" s="9"/>
      <c r="C30" s="10" t="s">
        <v>11</v>
      </c>
      <c r="D30" s="67" t="str">
        <f>+D6</f>
        <v>Gallons</v>
      </c>
      <c r="E30" s="69" t="s">
        <v>18</v>
      </c>
      <c r="G30" s="69" t="s">
        <v>19</v>
      </c>
      <c r="H30" s="70" t="s">
        <v>21</v>
      </c>
      <c r="I30" s="70" t="s">
        <v>21</v>
      </c>
      <c r="J30" s="70" t="s">
        <v>21</v>
      </c>
      <c r="K30" s="70" t="s">
        <v>21</v>
      </c>
      <c r="L30" s="70" t="s">
        <v>21</v>
      </c>
      <c r="M30" s="69" t="s">
        <v>20</v>
      </c>
      <c r="P30" s="69" t="s">
        <v>17</v>
      </c>
      <c r="Q30" s="5">
        <v>128</v>
      </c>
      <c r="R30" s="5" t="s">
        <v>7</v>
      </c>
      <c r="S30" s="8"/>
    </row>
    <row r="31" spans="2:19" ht="7.2" customHeight="1" thickBot="1" x14ac:dyDescent="0.35">
      <c r="B31" s="9"/>
      <c r="S31" s="8"/>
    </row>
    <row r="32" spans="2:19" x14ac:dyDescent="0.3">
      <c r="B32" s="9"/>
      <c r="C32" s="12"/>
      <c r="D32" s="27" t="str">
        <f t="shared" ref="D32:R32" si="9">+$D$6</f>
        <v>Gallons</v>
      </c>
      <c r="E32" s="38" t="str">
        <f t="shared" si="9"/>
        <v>Gallons</v>
      </c>
      <c r="F32" s="38" t="str">
        <f t="shared" si="9"/>
        <v>Gallons</v>
      </c>
      <c r="G32" s="38" t="str">
        <f t="shared" si="9"/>
        <v>Gallons</v>
      </c>
      <c r="H32" s="38" t="str">
        <f t="shared" si="9"/>
        <v>Gallons</v>
      </c>
      <c r="I32" s="38" t="str">
        <f t="shared" si="9"/>
        <v>Gallons</v>
      </c>
      <c r="J32" s="38" t="str">
        <f t="shared" si="9"/>
        <v>Gallons</v>
      </c>
      <c r="K32" s="38" t="str">
        <f t="shared" si="9"/>
        <v>Gallons</v>
      </c>
      <c r="L32" s="38" t="str">
        <f t="shared" si="9"/>
        <v>Gallons</v>
      </c>
      <c r="M32" s="38" t="str">
        <f t="shared" si="9"/>
        <v>Gallons</v>
      </c>
      <c r="N32" s="38" t="str">
        <f t="shared" si="9"/>
        <v>Gallons</v>
      </c>
      <c r="O32" s="38" t="str">
        <f t="shared" si="9"/>
        <v>Gallons</v>
      </c>
      <c r="P32" s="38" t="str">
        <f t="shared" si="9"/>
        <v>Gallons</v>
      </c>
      <c r="Q32" s="38" t="str">
        <f t="shared" si="9"/>
        <v>Gallons</v>
      </c>
      <c r="R32" s="13" t="str">
        <f t="shared" si="9"/>
        <v>Gallons</v>
      </c>
      <c r="S32" s="8"/>
    </row>
    <row r="33" spans="2:19" x14ac:dyDescent="0.3">
      <c r="B33" s="9"/>
      <c r="C33" s="14" t="s">
        <v>1</v>
      </c>
      <c r="D33" s="28">
        <f t="shared" ref="D33:R33" si="10">+$D$5</f>
        <v>45</v>
      </c>
      <c r="E33" s="39">
        <f t="shared" si="10"/>
        <v>45</v>
      </c>
      <c r="F33" s="39">
        <f t="shared" si="10"/>
        <v>45</v>
      </c>
      <c r="G33" s="39">
        <f t="shared" si="10"/>
        <v>45</v>
      </c>
      <c r="H33" s="39">
        <f t="shared" si="10"/>
        <v>45</v>
      </c>
      <c r="I33" s="39">
        <f t="shared" si="10"/>
        <v>45</v>
      </c>
      <c r="J33" s="39">
        <f t="shared" si="10"/>
        <v>45</v>
      </c>
      <c r="K33" s="39">
        <f t="shared" si="10"/>
        <v>45</v>
      </c>
      <c r="L33" s="39">
        <f t="shared" si="10"/>
        <v>45</v>
      </c>
      <c r="M33" s="39">
        <f t="shared" si="10"/>
        <v>45</v>
      </c>
      <c r="N33" s="39">
        <f t="shared" si="10"/>
        <v>45</v>
      </c>
      <c r="O33" s="39">
        <f t="shared" si="10"/>
        <v>45</v>
      </c>
      <c r="P33" s="39">
        <f t="shared" si="10"/>
        <v>45</v>
      </c>
      <c r="Q33" s="39">
        <f t="shared" si="10"/>
        <v>45</v>
      </c>
      <c r="R33" s="15">
        <f t="shared" si="10"/>
        <v>45</v>
      </c>
      <c r="S33" s="8"/>
    </row>
    <row r="34" spans="2:19" x14ac:dyDescent="0.3">
      <c r="B34" s="9"/>
      <c r="C34" s="14"/>
      <c r="D34" s="2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15"/>
      <c r="S34" s="8"/>
    </row>
    <row r="35" spans="2:19" x14ac:dyDescent="0.3">
      <c r="B35" s="9"/>
      <c r="C35" s="9" t="s">
        <v>4</v>
      </c>
      <c r="D35" s="29">
        <f t="shared" ref="D35:R35" si="11">+D39/(D33+D39)*100%</f>
        <v>9.9009900990099011E-3</v>
      </c>
      <c r="E35" s="40">
        <f t="shared" si="11"/>
        <v>1.1124845488257106E-2</v>
      </c>
      <c r="F35" s="40">
        <f t="shared" si="11"/>
        <v>1.2345679012345678E-2</v>
      </c>
      <c r="G35" s="40">
        <f t="shared" si="11"/>
        <v>1.3563501849568433E-2</v>
      </c>
      <c r="H35" s="40">
        <f t="shared" si="11"/>
        <v>1.4778325123152709E-2</v>
      </c>
      <c r="I35" s="40">
        <f t="shared" si="11"/>
        <v>1.5990159901599011E-2</v>
      </c>
      <c r="J35" s="40">
        <f t="shared" si="11"/>
        <v>1.7199017199017196E-2</v>
      </c>
      <c r="K35" s="40">
        <f t="shared" si="11"/>
        <v>1.8404907975460124E-2</v>
      </c>
      <c r="L35" s="40">
        <f t="shared" si="11"/>
        <v>1.9607843137254902E-2</v>
      </c>
      <c r="M35" s="40">
        <f t="shared" si="11"/>
        <v>2.0807833537331705E-2</v>
      </c>
      <c r="N35" s="40">
        <f t="shared" si="11"/>
        <v>2.2004889975550123E-2</v>
      </c>
      <c r="O35" s="40">
        <f t="shared" si="11"/>
        <v>2.31990231990232E-2</v>
      </c>
      <c r="P35" s="40">
        <f t="shared" si="11"/>
        <v>2.4390243902439029E-2</v>
      </c>
      <c r="Q35" s="40">
        <f t="shared" si="11"/>
        <v>2.5578562728380033E-2</v>
      </c>
      <c r="R35" s="16">
        <f t="shared" si="11"/>
        <v>2.6763990267639912E-2</v>
      </c>
      <c r="S35" s="8"/>
    </row>
    <row r="36" spans="2:19" x14ac:dyDescent="0.3">
      <c r="B36" s="9"/>
      <c r="C36" s="9"/>
      <c r="D36" s="30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17"/>
      <c r="S36" s="8"/>
    </row>
    <row r="37" spans="2:19" x14ac:dyDescent="0.3">
      <c r="B37" s="9"/>
      <c r="C37" s="9" t="s">
        <v>5</v>
      </c>
      <c r="D37" s="31">
        <v>0.01</v>
      </c>
      <c r="E37" s="42">
        <f>+D37+0.00125</f>
        <v>1.125E-2</v>
      </c>
      <c r="F37" s="42">
        <f>+E37+0.00125</f>
        <v>1.2499999999999999E-2</v>
      </c>
      <c r="G37" s="42">
        <f t="shared" ref="G37:R37" si="12">+F37+0.00125</f>
        <v>1.3749999999999998E-2</v>
      </c>
      <c r="H37" s="42">
        <f t="shared" si="12"/>
        <v>1.4999999999999998E-2</v>
      </c>
      <c r="I37" s="42">
        <f t="shared" si="12"/>
        <v>1.6249999999999997E-2</v>
      </c>
      <c r="J37" s="42">
        <f t="shared" si="12"/>
        <v>1.7499999999999998E-2</v>
      </c>
      <c r="K37" s="42">
        <f t="shared" si="12"/>
        <v>1.8749999999999999E-2</v>
      </c>
      <c r="L37" s="42">
        <f t="shared" si="12"/>
        <v>0.02</v>
      </c>
      <c r="M37" s="42">
        <f t="shared" si="12"/>
        <v>2.1250000000000002E-2</v>
      </c>
      <c r="N37" s="42">
        <f t="shared" si="12"/>
        <v>2.2500000000000003E-2</v>
      </c>
      <c r="O37" s="42">
        <f t="shared" si="12"/>
        <v>2.3750000000000004E-2</v>
      </c>
      <c r="P37" s="42">
        <f t="shared" si="12"/>
        <v>2.5000000000000005E-2</v>
      </c>
      <c r="Q37" s="42">
        <f t="shared" si="12"/>
        <v>2.6250000000000006E-2</v>
      </c>
      <c r="R37" s="58">
        <f t="shared" si="12"/>
        <v>2.7500000000000007E-2</v>
      </c>
      <c r="S37" s="8"/>
    </row>
    <row r="38" spans="2:19" x14ac:dyDescent="0.3">
      <c r="B38" s="9"/>
      <c r="C38" s="9"/>
      <c r="D38" s="9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8"/>
      <c r="S38" s="8"/>
    </row>
    <row r="39" spans="2:19" x14ac:dyDescent="0.3">
      <c r="B39" s="9" t="s">
        <v>0</v>
      </c>
      <c r="C39" s="7" t="s">
        <v>3</v>
      </c>
      <c r="D39" s="32">
        <f t="shared" ref="D39:R39" si="13">+(D37/D46)*D33</f>
        <v>0.45</v>
      </c>
      <c r="E39" s="44">
        <f t="shared" si="13"/>
        <v>0.50624999999999998</v>
      </c>
      <c r="F39" s="44">
        <f t="shared" si="13"/>
        <v>0.5625</v>
      </c>
      <c r="G39" s="44">
        <f t="shared" si="13"/>
        <v>0.61874999999999991</v>
      </c>
      <c r="H39" s="44">
        <f t="shared" si="13"/>
        <v>0.67499999999999993</v>
      </c>
      <c r="I39" s="44">
        <f t="shared" si="13"/>
        <v>0.73124999999999984</v>
      </c>
      <c r="J39" s="44">
        <f t="shared" si="13"/>
        <v>0.78749999999999987</v>
      </c>
      <c r="K39" s="44">
        <f t="shared" si="13"/>
        <v>0.84375</v>
      </c>
      <c r="L39" s="44">
        <f t="shared" si="13"/>
        <v>0.9</v>
      </c>
      <c r="M39" s="44">
        <f t="shared" si="13"/>
        <v>0.95625000000000004</v>
      </c>
      <c r="N39" s="44">
        <f t="shared" si="13"/>
        <v>1.0125000000000002</v>
      </c>
      <c r="O39" s="44">
        <f t="shared" si="13"/>
        <v>1.0687500000000001</v>
      </c>
      <c r="P39" s="44">
        <f t="shared" si="13"/>
        <v>1.1250000000000002</v>
      </c>
      <c r="Q39" s="44">
        <f t="shared" si="13"/>
        <v>1.1812500000000004</v>
      </c>
      <c r="R39" s="19">
        <f t="shared" si="13"/>
        <v>1.2375000000000003</v>
      </c>
      <c r="S39" s="8"/>
    </row>
    <row r="40" spans="2:19" ht="15" thickBot="1" x14ac:dyDescent="0.35">
      <c r="B40" s="9"/>
      <c r="C40" s="7"/>
      <c r="D40" s="3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20"/>
      <c r="S40" s="8"/>
    </row>
    <row r="41" spans="2:19" ht="15" thickBot="1" x14ac:dyDescent="0.35">
      <c r="B41" s="9" t="s">
        <v>0</v>
      </c>
      <c r="C41" s="26" t="s">
        <v>6</v>
      </c>
      <c r="D41" s="36">
        <f t="shared" ref="D41:R41" si="14">+D39*$Q$6</f>
        <v>57.6</v>
      </c>
      <c r="E41" s="46">
        <f t="shared" si="14"/>
        <v>64.8</v>
      </c>
      <c r="F41" s="46">
        <f t="shared" si="14"/>
        <v>72</v>
      </c>
      <c r="G41" s="46">
        <f t="shared" si="14"/>
        <v>79.199999999999989</v>
      </c>
      <c r="H41" s="46">
        <f t="shared" si="14"/>
        <v>86.399999999999991</v>
      </c>
      <c r="I41" s="46">
        <f t="shared" si="14"/>
        <v>93.59999999999998</v>
      </c>
      <c r="J41" s="46">
        <f t="shared" si="14"/>
        <v>100.79999999999998</v>
      </c>
      <c r="K41" s="46">
        <f t="shared" si="14"/>
        <v>108</v>
      </c>
      <c r="L41" s="46">
        <f t="shared" si="14"/>
        <v>115.2</v>
      </c>
      <c r="M41" s="53">
        <f t="shared" si="14"/>
        <v>122.4</v>
      </c>
      <c r="N41" s="53">
        <f t="shared" si="14"/>
        <v>129.60000000000002</v>
      </c>
      <c r="O41" s="53">
        <f t="shared" si="14"/>
        <v>136.80000000000001</v>
      </c>
      <c r="P41" s="53">
        <f t="shared" si="14"/>
        <v>144.00000000000003</v>
      </c>
      <c r="Q41" s="53">
        <f t="shared" si="14"/>
        <v>151.20000000000005</v>
      </c>
      <c r="R41" s="54">
        <f t="shared" si="14"/>
        <v>158.40000000000003</v>
      </c>
      <c r="S41" s="8"/>
    </row>
    <row r="42" spans="2:19" x14ac:dyDescent="0.3">
      <c r="B42" s="9"/>
      <c r="C42" s="9"/>
      <c r="D42" s="14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21"/>
      <c r="S42" s="8"/>
    </row>
    <row r="43" spans="2:19" x14ac:dyDescent="0.3">
      <c r="B43" s="9"/>
      <c r="C43" s="7" t="s">
        <v>2</v>
      </c>
      <c r="D43" s="60">
        <f>+D33-D39</f>
        <v>44.55</v>
      </c>
      <c r="E43" s="61">
        <f t="shared" ref="E43" si="15">+E33-E39</f>
        <v>44.493749999999999</v>
      </c>
      <c r="F43" s="61">
        <f t="shared" ref="F43:R43" si="16">+F33-F39</f>
        <v>44.4375</v>
      </c>
      <c r="G43" s="61">
        <f t="shared" si="16"/>
        <v>44.381250000000001</v>
      </c>
      <c r="H43" s="61">
        <f t="shared" si="16"/>
        <v>44.325000000000003</v>
      </c>
      <c r="I43" s="61">
        <f t="shared" si="16"/>
        <v>44.268749999999997</v>
      </c>
      <c r="J43" s="61">
        <f t="shared" si="16"/>
        <v>44.212499999999999</v>
      </c>
      <c r="K43" s="61">
        <f t="shared" si="16"/>
        <v>44.15625</v>
      </c>
      <c r="L43" s="61">
        <f t="shared" si="16"/>
        <v>44.1</v>
      </c>
      <c r="M43" s="61">
        <f t="shared" si="16"/>
        <v>44.043750000000003</v>
      </c>
      <c r="N43" s="61">
        <f t="shared" si="16"/>
        <v>43.987499999999997</v>
      </c>
      <c r="O43" s="61">
        <f t="shared" si="16"/>
        <v>43.931249999999999</v>
      </c>
      <c r="P43" s="61">
        <f t="shared" si="16"/>
        <v>43.875</v>
      </c>
      <c r="Q43" s="61">
        <f t="shared" si="16"/>
        <v>43.818750000000001</v>
      </c>
      <c r="R43" s="63">
        <f t="shared" si="16"/>
        <v>43.762500000000003</v>
      </c>
      <c r="S43" s="8"/>
    </row>
    <row r="44" spans="2:19" x14ac:dyDescent="0.3">
      <c r="B44" s="9"/>
      <c r="C44" s="22" t="s">
        <v>9</v>
      </c>
      <c r="D44" s="55">
        <f>+D39</f>
        <v>0.45</v>
      </c>
      <c r="E44" s="57">
        <f t="shared" ref="E44" si="17">+E39</f>
        <v>0.50624999999999998</v>
      </c>
      <c r="F44" s="57">
        <f t="shared" ref="F44:R44" si="18">+F39</f>
        <v>0.5625</v>
      </c>
      <c r="G44" s="57">
        <f t="shared" si="18"/>
        <v>0.61874999999999991</v>
      </c>
      <c r="H44" s="57">
        <f t="shared" si="18"/>
        <v>0.67499999999999993</v>
      </c>
      <c r="I44" s="57">
        <f t="shared" si="18"/>
        <v>0.73124999999999984</v>
      </c>
      <c r="J44" s="57">
        <f t="shared" si="18"/>
        <v>0.78749999999999987</v>
      </c>
      <c r="K44" s="57">
        <f t="shared" si="18"/>
        <v>0.84375</v>
      </c>
      <c r="L44" s="57">
        <f t="shared" si="18"/>
        <v>0.9</v>
      </c>
      <c r="M44" s="57">
        <f t="shared" si="18"/>
        <v>0.95625000000000004</v>
      </c>
      <c r="N44" s="57">
        <f t="shared" si="18"/>
        <v>1.0125000000000002</v>
      </c>
      <c r="O44" s="57">
        <f t="shared" si="18"/>
        <v>1.0687500000000001</v>
      </c>
      <c r="P44" s="57">
        <f t="shared" si="18"/>
        <v>1.1250000000000002</v>
      </c>
      <c r="Q44" s="57">
        <f t="shared" si="18"/>
        <v>1.1812500000000004</v>
      </c>
      <c r="R44" s="56">
        <f t="shared" si="18"/>
        <v>1.2375000000000003</v>
      </c>
      <c r="S44" s="8"/>
    </row>
    <row r="45" spans="2:19" x14ac:dyDescent="0.3">
      <c r="B45" s="9"/>
      <c r="C45" s="9"/>
      <c r="D45" s="34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23"/>
      <c r="S45" s="8"/>
    </row>
    <row r="46" spans="2:19" ht="15" thickBot="1" x14ac:dyDescent="0.35">
      <c r="B46" s="9"/>
      <c r="C46" s="24" t="s">
        <v>10</v>
      </c>
      <c r="D46" s="35">
        <v>1</v>
      </c>
      <c r="E46" s="49">
        <v>1</v>
      </c>
      <c r="F46" s="49">
        <v>1</v>
      </c>
      <c r="G46" s="49">
        <v>1</v>
      </c>
      <c r="H46" s="49">
        <v>1</v>
      </c>
      <c r="I46" s="49">
        <v>1</v>
      </c>
      <c r="J46" s="49">
        <v>1</v>
      </c>
      <c r="K46" s="49">
        <v>1</v>
      </c>
      <c r="L46" s="49">
        <v>1</v>
      </c>
      <c r="M46" s="49">
        <v>1</v>
      </c>
      <c r="N46" s="49">
        <v>1</v>
      </c>
      <c r="O46" s="49">
        <v>1</v>
      </c>
      <c r="P46" s="49">
        <v>1</v>
      </c>
      <c r="Q46" s="49">
        <v>1</v>
      </c>
      <c r="R46" s="25">
        <v>1</v>
      </c>
      <c r="S46" s="8"/>
    </row>
    <row r="47" spans="2:19" ht="7.2" customHeight="1" x14ac:dyDescent="0.3">
      <c r="B47" s="9"/>
      <c r="S47" s="8"/>
    </row>
    <row r="48" spans="2:19" ht="7.2" customHeight="1" thickBot="1" x14ac:dyDescent="0.35">
      <c r="B48" s="24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</dc:creator>
  <cp:lastModifiedBy>Cary Endlich</cp:lastModifiedBy>
  <dcterms:created xsi:type="dcterms:W3CDTF">2021-06-11T23:22:34Z</dcterms:created>
  <dcterms:modified xsi:type="dcterms:W3CDTF">2024-07-26T22:02:37Z</dcterms:modified>
</cp:coreProperties>
</file>